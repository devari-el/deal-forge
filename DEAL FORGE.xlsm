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riel Randis\Desktop\FATEC\DEAL-FORGE\"/>
    </mc:Choice>
  </mc:AlternateContent>
  <xr:revisionPtr revIDLastSave="0" documentId="13_ncr:1_{11874E33-FC54-4EF6-B216-F812184D5FC3}" xr6:coauthVersionLast="47" xr6:coauthVersionMax="47" xr10:uidLastSave="{00000000-0000-0000-0000-000000000000}"/>
  <bookViews>
    <workbookView xWindow="-98" yWindow="-98" windowWidth="21795" windowHeight="13096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users" sheetId="1" r:id="rId6"/>
    <sheet name="data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<sst xmlns="http://schemas.openxmlformats.org/spreadsheetml/2006/main" count="193" uniqueCount="160">
  <si>
    <t>NOME</t>
  </si>
  <si>
    <t>SENHA</t>
  </si>
  <si>
    <t>CLASSE</t>
  </si>
  <si>
    <t>USUÁRIO LOGADO:</t>
  </si>
  <si>
    <t>NOME DE USUÁRIO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</si>
  <si>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</si>
  <si>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</si>
  <si>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</si>
  <si>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</si>
  <si>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</si>
  <si>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</si>
  <si>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</si>
  <si>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</si>
  <si>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</si>
  <si>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</si>
  <si>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</si>
  <si>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</si>
  <si>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</si>
  <si>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</si>
  <si>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</si>
  <si>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</si>
  <si>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</si>
  <si>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</si>
  <si>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</si>
  <si>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</si>
  <si>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</si>
  <si>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</si>
  <si>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</si>
  <si>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</si>
  <si>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</si>
  <si>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</si>
  <si>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</si>
  <si>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</si>
  <si>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</si>
  <si>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</si>
  <si>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</si>
  <si>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</si>
  <si>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</si>
  <si>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</si>
  <si>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</si>
  <si>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</si>
  <si>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</si>
  <si>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</si>
  <si>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</si>
  <si>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</si>
  <si>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</si>
  <si>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</si>
  <si>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</si>
  <si>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</si>
  <si>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</si>
  <si>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</si>
  <si>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</si>
  <si>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</si>
  <si>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</si>
  <si>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</si>
  <si>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</si>
  <si>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</si>
  <si>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</si>
  <si>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</si>
  <si>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</si>
  <si>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</si>
  <si>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</si>
  <si>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</si>
  <si>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</si>
  <si>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</si>
  <si>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</si>
  <si>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</si>
  <si>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</si>
  <si>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</si>
  <si>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</si>
  <si>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</si>
  <si>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</si>
  <si>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</si>
  <si>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</si>
  <si>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</si>
  <si>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</si>
  <si>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</si>
  <si>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</si>
  <si>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</si>
  <si>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</si>
  <si>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</si>
  <si>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</si>
  <si>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</si>
  <si>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</si>
  <si>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</si>
  <si>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</si>
  <si>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</si>
  <si>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AJUDANTE</t>
  </si>
  <si>
    <t>ELETRICISTA 1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</si>
  <si>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</si>
  <si>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</si>
  <si>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</si>
  <si>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</si>
  <si>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</si>
  <si>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</si>
  <si>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</si>
  <si>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</si>
  <si>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</si>
  <si>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</si>
  <si>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</si>
  <si>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</si>
  <si>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</si>
  <si>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</si>
  <si>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</si>
  <si>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</si>
  <si>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</si>
  <si>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</si>
  <si>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</si>
  <si>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</si>
  <si>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</si>
  <si>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</si>
  <si>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</si>
  <si>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</si>
  <si>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</si>
  <si>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</si>
  <si>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</si>
  <si>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</si>
  <si>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</si>
  <si>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</si>
  <si>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</si>
  <si>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</si>
  <si>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</si>
  <si>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</si>
  <si>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</si>
  <si>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</si>
  <si>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</si>
  <si>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</si>
  <si>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</si>
  <si>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</si>
  <si>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</si>
  <si>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</si>
  <si>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</si>
  <si>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</si>
  <si>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</si>
  <si>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</si>
  <si>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</si>
  <si>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</si>
  <si>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</si>
  <si>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</si>
  <si>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</si>
  <si>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</si>
  <si>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</si>
  <si>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</si>
  <si>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</si>
  <si>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</si>
  <si>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</si>
  <si>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</si>
  <si>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</si>
  <si>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</si>
  <si>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</si>
  <si>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</si>
  <si>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</si>
  <si>
    <t>EMITIDA</t>
  </si>
  <si>
    <t>ENVIADA</t>
  </si>
  <si>
    <t>APROVADA</t>
  </si>
  <si>
    <t>FATURADA</t>
  </si>
  <si>
    <t>RECEBIDA</t>
  </si>
  <si>
    <t/>
  </si>
  <si>
    <t>STATES</t>
  </si>
  <si>
    <t>LEGACY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</si>
</sst>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2" xfId="0" applyNumberFormat="1" applyFont="1" applyFill="1" applyBorder="1" applyAlignment="1">
      <alignment horizontal="center"/>
    </xf>
    <xf numFmtId="0" fontId="0" fillId="0" borderId="1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/>
    <xf numFmtId="0" fontId="0" fillId="4" borderId="2" xfId="0" applyFill="1" applyBorder="1"/>
    <xf numFmtId="164" fontId="4" fillId="4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3" borderId="7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0" fillId="3" borderId="9" xfId="0" applyFill="1" applyBorder="1"/>
    <xf numFmtId="0" fontId="0" fillId="3" borderId="0" xfId="0" applyFill="1"/>
    <xf numFmtId="0" fontId="0" fillId="3" borderId="10" xfId="0" applyFill="1" applyBorder="1"/>
    <xf numFmtId="0" fontId="2" fillId="4" borderId="0" xfId="0" applyFont="1" applyFill="1" applyAlignment="1">
      <alignment horizontal="right"/>
    </xf>
    <xf numFmtId="0" fontId="0" fillId="4" borderId="3" xfId="0" applyFill="1" applyBorder="1"/>
    <xf numFmtId="0" fontId="0" fillId="4" borderId="11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12" xfId="0" applyFill="1" applyBorder="1"/>
    <xf numFmtId="0" fontId="0" fillId="3" borderId="3" xfId="0" applyFill="1" applyBorder="1"/>
    <xf numFmtId="0" fontId="0" fillId="3" borderId="11" xfId="0" applyFill="1" applyBorder="1"/>
    <xf numFmtId="0" fontId="2" fillId="4" borderId="7" xfId="0" applyFont="1" applyFill="1" applyBorder="1" applyAlignment="1">
      <alignment horizontal="right"/>
    </xf>
    <xf numFmtId="0" fontId="2" fillId="4" borderId="4" xfId="0" applyFont="1" applyFill="1" applyBorder="1"/>
    <xf numFmtId="0" fontId="0" fillId="3" borderId="7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2" fillId="3" borderId="3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2" fillId="4" borderId="6" xfId="0" applyFont="1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12" xfId="0" applyFont="1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2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right" indent="10"/>
    </xf>
    <xf numFmtId="0" fontId="1" fillId="3" borderId="2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0" fillId="3" borderId="1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9" fontId="0" fillId="3" borderId="7" xfId="1" applyFont="1" applyFill="1" applyBorder="1" applyAlignment="1">
      <alignment horizontal="left" vertical="center"/>
    </xf>
    <xf numFmtId="164" fontId="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0" xfId="0" applyNumberFormat="1"/>
    <xf numFmtId="0" fontId="0" fillId="2" borderId="14" xfId="0" applyFill="1" applyBorder="1" applyAlignment="1">
      <alignment horizontal="center"/>
    </xf>
    <xf numFmtId="49" fontId="6" fillId="4" borderId="2" xfId="0" applyNumberFormat="1" applyFont="1" applyFill="1" applyBorder="1" applyAlignment="1">
      <alignment horizontal="left"/>
    </xf>
    <xf numFmtId="0" fontId="2" fillId="4" borderId="1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2" fillId="3" borderId="6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9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6" fillId="3" borderId="2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3" borderId="7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6" fillId="4" borderId="2" xfId="0" applyFon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6" fillId="4" borderId="3" xfId="0" applyFont="1" applyFill="1" applyBorder="1" applyAlignment="1">
      <alignment horizontal="left"/>
    </xf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195262</xdr:colOff>
      <xdr:row>8</xdr:row>
      <xdr:rowOff>42863</xdr:rowOff>
    </xdr:to>
    <xdr:sp macro="[0]!def_ini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1A0FFB-BEC9-F5AB-B00C-DFC59C4FF4BC}"/>
            </a:ext>
          </a:extLst>
        </xdr:cNvPr>
        <xdr:cNvSpPr/>
      </xdr:nvSpPr>
      <xdr:spPr>
        <a:xfrm>
          <a:off x="0" y="0"/>
          <a:ext cx="1490662" cy="1490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7200" kern="1200"/>
            <a:t>init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6</xdr:row>
      <xdr:rowOff>10651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C30" sqref="C30"/>
    </sheetView>
  </sheetViews>
  <sheetFormatPr defaultRowHeight="14.25" x14ac:dyDescent="0.4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2:O48"/>
  <sheetViews>
    <sheetView topLeftCell="B1" zoomScale="85" zoomScaleNormal="85" workbookViewId="0">
      <selection activeCell="D41" sqref="D41:G41"/>
    </sheetView>
  </sheetViews>
  <sheetFormatPr defaultRowHeight="14.25" x14ac:dyDescent="0.45"/>
  <cols>
    <col min="1" max="1" width="2.46484375" customWidth="1"/>
    <col min="2" max="2" width="11.86328125" customWidth="1"/>
    <col min="3" max="3" width="6" customWidth="1"/>
    <col min="4" max="4" width="42.59765625" customWidth="1"/>
    <col min="5" max="7" width="4.86328125" customWidth="1"/>
    <col min="8" max="8" width="20.46484375" customWidth="1"/>
    <col min="9" max="9" width="0.59765625" customWidth="1"/>
    <col min="10" max="10" width="15.1328125" customWidth="1"/>
    <col min="11" max="11" width="0.59765625" customWidth="1"/>
    <col min="13" max="13" width="16.59765625" customWidth="1"/>
    <col min="14" max="14" width="17.73046875" customWidth="1"/>
    <col min="15" max="15" width="17.59765625" customWidth="1"/>
  </cols>
  <sheetData>
    <row r="2" spans="2:15" x14ac:dyDescent="0.45">
      <c r="B2" s="29"/>
      <c r="C2" s="35"/>
      <c r="D2" s="20" t="s">
        <v>110</v>
      </c>
      <c r="E2" s="79"/>
      <c r="F2" s="79"/>
      <c r="G2" s="79"/>
      <c r="H2" s="79"/>
      <c r="I2" s="36"/>
      <c r="J2" s="36"/>
      <c r="K2" s="37"/>
    </row>
    <row r="3" spans="2:15" x14ac:dyDescent="0.45">
      <c r="B3" s="22"/>
      <c r="C3" s="23"/>
      <c r="D3" s="23"/>
      <c r="E3" s="80"/>
      <c r="F3" s="80"/>
      <c r="G3" s="80"/>
      <c r="H3" s="80"/>
      <c r="I3" s="5"/>
      <c r="J3" s="40" t="s">
        <v>114</v>
      </c>
      <c r="K3" s="38"/>
    </row>
    <row r="4" spans="2:15" x14ac:dyDescent="0.45">
      <c r="B4" s="22"/>
      <c r="C4" s="23"/>
      <c r="D4" s="21" t="s">
        <v>115</v>
      </c>
      <c r="E4" s="81"/>
      <c r="F4" s="81"/>
      <c r="G4" s="81"/>
      <c r="H4" s="81"/>
      <c r="I4" s="5"/>
      <c r="J4" s="52" t="s">
        <v>157</v>
      </c>
      <c r="K4" s="38"/>
    </row>
    <row r="5" spans="2:15" x14ac:dyDescent="0.45">
      <c r="B5" s="22"/>
      <c r="C5" s="23"/>
      <c r="D5" s="21" t="s">
        <v>116</v>
      </c>
      <c r="E5" s="81"/>
      <c r="F5" s="81"/>
      <c r="G5" s="81"/>
      <c r="H5" s="81"/>
      <c r="I5" s="5"/>
      <c r="J5" s="5"/>
      <c r="K5" s="38"/>
    </row>
    <row r="6" spans="2:15" x14ac:dyDescent="0.45">
      <c r="B6" s="30"/>
      <c r="C6" s="31"/>
      <c r="D6" s="39" t="s">
        <v>109</v>
      </c>
      <c r="E6" s="82"/>
      <c r="F6" s="82"/>
      <c r="G6" s="82"/>
      <c r="H6" s="82"/>
      <c r="I6" s="26"/>
      <c r="J6" s="26"/>
      <c r="K6" s="27"/>
    </row>
    <row r="7" spans="2:15" ht="3.7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</row>
    <row r="8" spans="2:15" x14ac:dyDescent="0.45">
      <c r="B8" s="41" t="s">
        <v>113</v>
      </c>
      <c r="C8" s="83"/>
      <c r="D8" s="83"/>
      <c r="E8" s="83"/>
      <c r="F8" s="83"/>
      <c r="G8" s="83"/>
      <c r="H8" s="36"/>
      <c r="I8" s="36"/>
      <c r="J8" s="42"/>
      <c r="K8" s="37"/>
    </row>
    <row r="9" spans="2:15" x14ac:dyDescent="0.45">
      <c r="B9" s="43" t="s">
        <v>112</v>
      </c>
      <c r="C9" s="84"/>
      <c r="D9" s="84"/>
      <c r="E9" s="84"/>
      <c r="F9" s="84"/>
      <c r="G9" s="84"/>
      <c r="H9" s="25" t="s">
        <v>117</v>
      </c>
      <c r="I9" s="5"/>
      <c r="J9" s="53"/>
      <c r="K9" s="38"/>
    </row>
    <row r="10" spans="2:15" x14ac:dyDescent="0.45">
      <c r="B10" s="44" t="s">
        <v>109</v>
      </c>
      <c r="C10" s="84"/>
      <c r="D10" s="84"/>
      <c r="E10" s="84"/>
      <c r="F10" s="84"/>
      <c r="G10" s="84"/>
      <c r="H10" s="25" t="s">
        <v>118</v>
      </c>
      <c r="I10" s="5"/>
      <c r="J10" s="69"/>
      <c r="K10" s="38"/>
    </row>
    <row r="11" spans="2:15" x14ac:dyDescent="0.45">
      <c r="B11" s="44" t="s">
        <v>110</v>
      </c>
      <c r="C11" s="84"/>
      <c r="D11" s="84"/>
      <c r="E11" s="84"/>
      <c r="F11" s="84"/>
      <c r="G11" s="84"/>
      <c r="H11" s="5"/>
      <c r="I11" s="5"/>
      <c r="J11" s="69"/>
      <c r="K11" s="38"/>
      <c r="M11" s="10" t="s">
        <v>122</v>
      </c>
      <c r="N11" s="6" t="s">
        <v>120</v>
      </c>
      <c r="O11" s="8" t="s">
        <v>121</v>
      </c>
    </row>
    <row r="12" spans="2:15" x14ac:dyDescent="0.45">
      <c r="B12" s="45" t="s">
        <v>111</v>
      </c>
      <c r="C12" s="85"/>
      <c r="D12" s="85"/>
      <c r="E12" s="85"/>
      <c r="F12" s="85"/>
      <c r="G12" s="85"/>
      <c r="H12" s="26"/>
      <c r="I12" s="26"/>
      <c r="J12" s="46"/>
      <c r="K12" s="27"/>
      <c r="M12" s="11"/>
      <c r="N12" s="7"/>
      <c r="O12" s="9"/>
    </row>
    <row r="13" spans="2:15" ht="3.95" customHeight="1" x14ac:dyDescent="0.45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2:15" x14ac:dyDescent="0.45">
      <c r="B14" s="47" t="s">
        <v>99</v>
      </c>
      <c r="C14" s="48" t="s">
        <v>123</v>
      </c>
      <c r="D14" s="49" t="s">
        <v>100</v>
      </c>
      <c r="E14" s="50"/>
      <c r="F14" s="50"/>
      <c r="G14" s="50"/>
      <c r="H14" s="48" t="s">
        <v>102</v>
      </c>
      <c r="I14" s="50"/>
      <c r="J14" s="48" t="s">
        <v>101</v>
      </c>
      <c r="K14" s="51"/>
    </row>
    <row r="15" spans="2:15" x14ac:dyDescent="0.45">
      <c r="B15" s="15"/>
      <c r="C15" s="19"/>
      <c r="D15" s="78"/>
      <c r="E15" s="78"/>
      <c r="F15" s="78"/>
      <c r="G15" s="78"/>
      <c r="H15" s="18">
        <f>O15</f>
        <v>0</v>
      </c>
      <c r="I15" s="17"/>
      <c r="J15" s="13">
        <f>C15*H15</f>
        <v>0</v>
      </c>
      <c r="K15" s="16"/>
      <c r="M15" s="12"/>
      <c r="N15" s="12">
        <f>M15*(1+$N$12)</f>
        <v>0</v>
      </c>
      <c r="O15" s="12">
        <f>N15/(1-$O$12)</f>
        <v>0</v>
      </c>
    </row>
    <row r="16" spans="2:15" x14ac:dyDescent="0.45">
      <c r="B16" s="15"/>
      <c r="C16" s="19"/>
      <c r="D16" s="78"/>
      <c r="E16" s="78"/>
      <c r="F16" s="78"/>
      <c r="G16" s="78"/>
      <c r="H16" s="18">
        <f t="shared" ref="H16:H41" si="0">O16</f>
        <v>0</v>
      </c>
      <c r="I16" s="17"/>
      <c r="J16" s="13">
        <f t="shared" ref="J16:J41" si="1">C16*H16</f>
        <v>0</v>
      </c>
      <c r="K16" s="16"/>
      <c r="M16" s="12"/>
      <c r="N16" s="12">
        <f t="shared" ref="N16:N41" si="2">M16*(1+$N$12)</f>
        <v>0</v>
      </c>
      <c r="O16" s="12">
        <f t="shared" ref="O16:O41" si="3">N16/(1-$O$12)</f>
        <v>0</v>
      </c>
    </row>
    <row r="17" spans="2:15" x14ac:dyDescent="0.45">
      <c r="B17" s="15"/>
      <c r="C17" s="19"/>
      <c r="D17" s="78"/>
      <c r="E17" s="78"/>
      <c r="F17" s="78"/>
      <c r="G17" s="78"/>
      <c r="H17" s="18">
        <f t="shared" si="0"/>
        <v>0</v>
      </c>
      <c r="I17" s="17"/>
      <c r="J17" s="13">
        <f t="shared" si="1"/>
        <v>0</v>
      </c>
      <c r="K17" s="16"/>
      <c r="M17" s="12"/>
      <c r="N17" s="12">
        <f t="shared" si="2"/>
        <v>0</v>
      </c>
      <c r="O17" s="12">
        <f t="shared" si="3"/>
        <v>0</v>
      </c>
    </row>
    <row r="18" spans="2:15" x14ac:dyDescent="0.45">
      <c r="B18" s="15"/>
      <c r="C18" s="19"/>
      <c r="D18" s="78"/>
      <c r="E18" s="78"/>
      <c r="F18" s="78"/>
      <c r="G18" s="78"/>
      <c r="H18" s="18">
        <f t="shared" si="0"/>
        <v>0</v>
      </c>
      <c r="I18" s="17"/>
      <c r="J18" s="13">
        <f t="shared" si="1"/>
        <v>0</v>
      </c>
      <c r="K18" s="16"/>
      <c r="M18" s="12"/>
      <c r="N18" s="12">
        <f t="shared" si="2"/>
        <v>0</v>
      </c>
      <c r="O18" s="12">
        <f t="shared" si="3"/>
        <v>0</v>
      </c>
    </row>
    <row r="19" spans="2:15" x14ac:dyDescent="0.45">
      <c r="B19" s="15"/>
      <c r="C19" s="19"/>
      <c r="D19" s="78"/>
      <c r="E19" s="78"/>
      <c r="F19" s="78"/>
      <c r="G19" s="78"/>
      <c r="H19" s="18">
        <f t="shared" si="0"/>
        <v>0</v>
      </c>
      <c r="I19" s="17"/>
      <c r="J19" s="13">
        <f t="shared" si="1"/>
        <v>0</v>
      </c>
      <c r="K19" s="16"/>
      <c r="M19" s="12"/>
      <c r="N19" s="12">
        <f t="shared" si="2"/>
        <v>0</v>
      </c>
      <c r="O19" s="12">
        <f t="shared" si="3"/>
        <v>0</v>
      </c>
    </row>
    <row r="20" spans="2:15" x14ac:dyDescent="0.45">
      <c r="B20" s="15"/>
      <c r="C20" s="19"/>
      <c r="D20" s="78"/>
      <c r="E20" s="78"/>
      <c r="F20" s="78"/>
      <c r="G20" s="78"/>
      <c r="H20" s="18">
        <f t="shared" si="0"/>
        <v>0</v>
      </c>
      <c r="I20" s="17"/>
      <c r="J20" s="13">
        <f t="shared" si="1"/>
        <v>0</v>
      </c>
      <c r="K20" s="16"/>
      <c r="M20" s="12"/>
      <c r="N20" s="12">
        <f t="shared" si="2"/>
        <v>0</v>
      </c>
      <c r="O20" s="12">
        <f t="shared" si="3"/>
        <v>0</v>
      </c>
    </row>
    <row r="21" spans="2:15" x14ac:dyDescent="0.45">
      <c r="B21" s="15"/>
      <c r="C21" s="19"/>
      <c r="D21" s="78"/>
      <c r="E21" s="78"/>
      <c r="F21" s="78"/>
      <c r="G21" s="78"/>
      <c r="H21" s="18">
        <f t="shared" si="0"/>
        <v>0</v>
      </c>
      <c r="I21" s="17"/>
      <c r="J21" s="13">
        <f t="shared" si="1"/>
        <v>0</v>
      </c>
      <c r="K21" s="16"/>
      <c r="M21" s="12"/>
      <c r="N21" s="12">
        <f t="shared" si="2"/>
        <v>0</v>
      </c>
      <c r="O21" s="12">
        <f t="shared" si="3"/>
        <v>0</v>
      </c>
    </row>
    <row r="22" spans="2:15" x14ac:dyDescent="0.45">
      <c r="B22" s="15"/>
      <c r="C22" s="19"/>
      <c r="D22" s="78"/>
      <c r="E22" s="78"/>
      <c r="F22" s="78"/>
      <c r="G22" s="78"/>
      <c r="H22" s="18">
        <f t="shared" si="0"/>
        <v>0</v>
      </c>
      <c r="I22" s="17"/>
      <c r="J22" s="13">
        <f t="shared" si="1"/>
        <v>0</v>
      </c>
      <c r="K22" s="16"/>
      <c r="M22" s="12"/>
      <c r="N22" s="12">
        <f t="shared" si="2"/>
        <v>0</v>
      </c>
      <c r="O22" s="12">
        <f t="shared" si="3"/>
        <v>0</v>
      </c>
    </row>
    <row r="23" spans="2:15" x14ac:dyDescent="0.45">
      <c r="B23" s="15"/>
      <c r="C23" s="19"/>
      <c r="D23" s="78"/>
      <c r="E23" s="78"/>
      <c r="F23" s="78"/>
      <c r="G23" s="78"/>
      <c r="H23" s="18">
        <f t="shared" si="0"/>
        <v>0</v>
      </c>
      <c r="I23" s="17"/>
      <c r="J23" s="13">
        <f t="shared" si="1"/>
        <v>0</v>
      </c>
      <c r="K23" s="16"/>
      <c r="M23" s="12"/>
      <c r="N23" s="12">
        <f t="shared" si="2"/>
        <v>0</v>
      </c>
      <c r="O23" s="12">
        <f t="shared" si="3"/>
        <v>0</v>
      </c>
    </row>
    <row r="24" spans="2:15" x14ac:dyDescent="0.45">
      <c r="B24" s="15"/>
      <c r="C24" s="19"/>
      <c r="D24" s="78"/>
      <c r="E24" s="78"/>
      <c r="F24" s="78"/>
      <c r="G24" s="78"/>
      <c r="H24" s="18">
        <f t="shared" si="0"/>
        <v>0</v>
      </c>
      <c r="I24" s="17"/>
      <c r="J24" s="13">
        <f t="shared" si="1"/>
        <v>0</v>
      </c>
      <c r="K24" s="16"/>
      <c r="M24" s="12"/>
      <c r="N24" s="12">
        <f t="shared" si="2"/>
        <v>0</v>
      </c>
      <c r="O24" s="12">
        <f t="shared" si="3"/>
        <v>0</v>
      </c>
    </row>
    <row r="25" spans="2:15" x14ac:dyDescent="0.45">
      <c r="B25" s="15"/>
      <c r="C25" s="19"/>
      <c r="D25" s="78"/>
      <c r="E25" s="78"/>
      <c r="F25" s="78"/>
      <c r="G25" s="78"/>
      <c r="H25" s="18">
        <f t="shared" si="0"/>
        <v>0</v>
      </c>
      <c r="I25" s="17"/>
      <c r="J25" s="13">
        <f t="shared" si="1"/>
        <v>0</v>
      </c>
      <c r="K25" s="16"/>
      <c r="M25" s="12"/>
      <c r="N25" s="12">
        <f t="shared" si="2"/>
        <v>0</v>
      </c>
      <c r="O25" s="12">
        <f t="shared" si="3"/>
        <v>0</v>
      </c>
    </row>
    <row r="26" spans="2:15" x14ac:dyDescent="0.45">
      <c r="B26" s="15"/>
      <c r="C26" s="19"/>
      <c r="D26" s="78"/>
      <c r="E26" s="78"/>
      <c r="F26" s="78"/>
      <c r="G26" s="78"/>
      <c r="H26" s="18">
        <f t="shared" si="0"/>
        <v>0</v>
      </c>
      <c r="I26" s="17"/>
      <c r="J26" s="13">
        <f t="shared" si="1"/>
        <v>0</v>
      </c>
      <c r="K26" s="16"/>
      <c r="M26" s="12"/>
      <c r="N26" s="12">
        <f t="shared" si="2"/>
        <v>0</v>
      </c>
      <c r="O26" s="12">
        <f t="shared" si="3"/>
        <v>0</v>
      </c>
    </row>
    <row r="27" spans="2:15" x14ac:dyDescent="0.45">
      <c r="B27" s="15"/>
      <c r="C27" s="19"/>
      <c r="D27" s="78"/>
      <c r="E27" s="78"/>
      <c r="F27" s="78"/>
      <c r="G27" s="78"/>
      <c r="H27" s="18">
        <f t="shared" si="0"/>
        <v>0</v>
      </c>
      <c r="I27" s="17"/>
      <c r="J27" s="13">
        <f t="shared" si="1"/>
        <v>0</v>
      </c>
      <c r="K27" s="16"/>
      <c r="M27" s="12"/>
      <c r="N27" s="12">
        <f t="shared" si="2"/>
        <v>0</v>
      </c>
      <c r="O27" s="12">
        <f t="shared" si="3"/>
        <v>0</v>
      </c>
    </row>
    <row r="28" spans="2:15" x14ac:dyDescent="0.45">
      <c r="B28" s="15"/>
      <c r="C28" s="19"/>
      <c r="D28" s="78"/>
      <c r="E28" s="78"/>
      <c r="F28" s="78"/>
      <c r="G28" s="78"/>
      <c r="H28" s="18">
        <f t="shared" si="0"/>
        <v>0</v>
      </c>
      <c r="I28" s="17"/>
      <c r="J28" s="13">
        <f t="shared" si="1"/>
        <v>0</v>
      </c>
      <c r="K28" s="16"/>
      <c r="M28" s="12"/>
      <c r="N28" s="12">
        <f t="shared" si="2"/>
        <v>0</v>
      </c>
      <c r="O28" s="12">
        <f t="shared" si="3"/>
        <v>0</v>
      </c>
    </row>
    <row r="29" spans="2:15" x14ac:dyDescent="0.45">
      <c r="B29" s="15"/>
      <c r="C29" s="19"/>
      <c r="D29" s="78"/>
      <c r="E29" s="78"/>
      <c r="F29" s="78"/>
      <c r="G29" s="78"/>
      <c r="H29" s="18">
        <f t="shared" si="0"/>
        <v>0</v>
      </c>
      <c r="I29" s="17"/>
      <c r="J29" s="13">
        <f t="shared" si="1"/>
        <v>0</v>
      </c>
      <c r="K29" s="16"/>
      <c r="M29" s="12"/>
      <c r="N29" s="12">
        <f t="shared" si="2"/>
        <v>0</v>
      </c>
      <c r="O29" s="12">
        <f t="shared" si="3"/>
        <v>0</v>
      </c>
    </row>
    <row r="30" spans="2:15" x14ac:dyDescent="0.45">
      <c r="B30" s="15"/>
      <c r="C30" s="19"/>
      <c r="D30" s="78"/>
      <c r="E30" s="78"/>
      <c r="F30" s="78"/>
      <c r="G30" s="78"/>
      <c r="H30" s="18">
        <f t="shared" si="0"/>
        <v>0</v>
      </c>
      <c r="I30" s="17"/>
      <c r="J30" s="13">
        <f t="shared" si="1"/>
        <v>0</v>
      </c>
      <c r="K30" s="16"/>
      <c r="M30" s="12"/>
      <c r="N30" s="12">
        <f t="shared" si="2"/>
        <v>0</v>
      </c>
      <c r="O30" s="12">
        <f t="shared" si="3"/>
        <v>0</v>
      </c>
    </row>
    <row r="31" spans="2:15" x14ac:dyDescent="0.45">
      <c r="B31" s="15"/>
      <c r="C31" s="19"/>
      <c r="D31" s="78"/>
      <c r="E31" s="78"/>
      <c r="F31" s="78"/>
      <c r="G31" s="78"/>
      <c r="H31" s="18">
        <f t="shared" si="0"/>
        <v>0</v>
      </c>
      <c r="I31" s="17"/>
      <c r="J31" s="13">
        <f t="shared" si="1"/>
        <v>0</v>
      </c>
      <c r="K31" s="16"/>
      <c r="M31" s="12"/>
      <c r="N31" s="12">
        <f t="shared" si="2"/>
        <v>0</v>
      </c>
      <c r="O31" s="12">
        <f t="shared" si="3"/>
        <v>0</v>
      </c>
    </row>
    <row r="32" spans="2:15" x14ac:dyDescent="0.45">
      <c r="B32" s="15"/>
      <c r="C32" s="19"/>
      <c r="D32" s="78"/>
      <c r="E32" s="78"/>
      <c r="F32" s="78"/>
      <c r="G32" s="78"/>
      <c r="H32" s="18">
        <f t="shared" si="0"/>
        <v>0</v>
      </c>
      <c r="I32" s="17"/>
      <c r="J32" s="13">
        <f t="shared" si="1"/>
        <v>0</v>
      </c>
      <c r="K32" s="16"/>
      <c r="M32" s="12"/>
      <c r="N32" s="12">
        <f t="shared" si="2"/>
        <v>0</v>
      </c>
      <c r="O32" s="12">
        <f t="shared" si="3"/>
        <v>0</v>
      </c>
    </row>
    <row r="33" spans="2:15" x14ac:dyDescent="0.45">
      <c r="B33" s="15"/>
      <c r="C33" s="19"/>
      <c r="D33" s="78"/>
      <c r="E33" s="78"/>
      <c r="F33" s="78"/>
      <c r="G33" s="78"/>
      <c r="H33" s="18">
        <f t="shared" si="0"/>
        <v>0</v>
      </c>
      <c r="I33" s="17"/>
      <c r="J33" s="13">
        <f t="shared" si="1"/>
        <v>0</v>
      </c>
      <c r="K33" s="16"/>
      <c r="M33" s="12"/>
      <c r="N33" s="12">
        <f t="shared" si="2"/>
        <v>0</v>
      </c>
      <c r="O33" s="12">
        <f t="shared" si="3"/>
        <v>0</v>
      </c>
    </row>
    <row r="34" spans="2:15" x14ac:dyDescent="0.45">
      <c r="B34" s="15"/>
      <c r="C34" s="19"/>
      <c r="D34" s="78"/>
      <c r="E34" s="78"/>
      <c r="F34" s="78"/>
      <c r="G34" s="78"/>
      <c r="H34" s="18">
        <f t="shared" si="0"/>
        <v>0</v>
      </c>
      <c r="I34" s="17"/>
      <c r="J34" s="13">
        <f t="shared" si="1"/>
        <v>0</v>
      </c>
      <c r="K34" s="16"/>
      <c r="M34" s="12"/>
      <c r="N34" s="12">
        <f t="shared" si="2"/>
        <v>0</v>
      </c>
      <c r="O34" s="12">
        <f t="shared" si="3"/>
        <v>0</v>
      </c>
    </row>
    <row r="35" spans="2:15" x14ac:dyDescent="0.45">
      <c r="B35" s="15"/>
      <c r="C35" s="19"/>
      <c r="D35" s="78"/>
      <c r="E35" s="78"/>
      <c r="F35" s="78"/>
      <c r="G35" s="78"/>
      <c r="H35" s="18">
        <f t="shared" si="0"/>
        <v>0</v>
      </c>
      <c r="I35" s="17"/>
      <c r="J35" s="13">
        <f t="shared" si="1"/>
        <v>0</v>
      </c>
      <c r="K35" s="16"/>
      <c r="M35" s="12"/>
      <c r="N35" s="12">
        <f t="shared" si="2"/>
        <v>0</v>
      </c>
      <c r="O35" s="12">
        <f t="shared" si="3"/>
        <v>0</v>
      </c>
    </row>
    <row r="36" spans="2:15" x14ac:dyDescent="0.45">
      <c r="B36" s="15"/>
      <c r="C36" s="19"/>
      <c r="D36" s="78"/>
      <c r="E36" s="78"/>
      <c r="F36" s="78"/>
      <c r="G36" s="78"/>
      <c r="H36" s="18">
        <f t="shared" si="0"/>
        <v>0</v>
      </c>
      <c r="I36" s="17"/>
      <c r="J36" s="13">
        <f t="shared" si="1"/>
        <v>0</v>
      </c>
      <c r="K36" s="16"/>
      <c r="M36" s="12"/>
      <c r="N36" s="12">
        <f t="shared" si="2"/>
        <v>0</v>
      </c>
      <c r="O36" s="12">
        <f t="shared" si="3"/>
        <v>0</v>
      </c>
    </row>
    <row r="37" spans="2:15" x14ac:dyDescent="0.45">
      <c r="B37" s="15"/>
      <c r="C37" s="19"/>
      <c r="D37" s="78"/>
      <c r="E37" s="78"/>
      <c r="F37" s="78"/>
      <c r="G37" s="78"/>
      <c r="H37" s="18">
        <f t="shared" si="0"/>
        <v>0</v>
      </c>
      <c r="I37" s="17"/>
      <c r="J37" s="13">
        <f t="shared" si="1"/>
        <v>0</v>
      </c>
      <c r="K37" s="16"/>
      <c r="M37" s="12"/>
      <c r="N37" s="12">
        <f t="shared" si="2"/>
        <v>0</v>
      </c>
      <c r="O37" s="12">
        <f t="shared" si="3"/>
        <v>0</v>
      </c>
    </row>
    <row r="38" spans="2:15" x14ac:dyDescent="0.45">
      <c r="B38" s="15"/>
      <c r="C38" s="19"/>
      <c r="D38" s="78"/>
      <c r="E38" s="78"/>
      <c r="F38" s="78"/>
      <c r="G38" s="78"/>
      <c r="H38" s="18">
        <f t="shared" si="0"/>
        <v>0</v>
      </c>
      <c r="I38" s="17"/>
      <c r="J38" s="13">
        <f t="shared" si="1"/>
        <v>0</v>
      </c>
      <c r="K38" s="16"/>
      <c r="M38" s="12"/>
      <c r="N38" s="12">
        <f t="shared" si="2"/>
        <v>0</v>
      </c>
      <c r="O38" s="12">
        <f t="shared" si="3"/>
        <v>0</v>
      </c>
    </row>
    <row r="39" spans="2:15" x14ac:dyDescent="0.45">
      <c r="B39" s="15"/>
      <c r="C39" s="19"/>
      <c r="D39" s="78"/>
      <c r="E39" s="78"/>
      <c r="F39" s="78"/>
      <c r="G39" s="78"/>
      <c r="H39" s="18">
        <f t="shared" si="0"/>
        <v>0</v>
      </c>
      <c r="I39" s="17"/>
      <c r="J39" s="13">
        <f t="shared" si="1"/>
        <v>0</v>
      </c>
      <c r="K39" s="16"/>
      <c r="M39" s="12"/>
      <c r="N39" s="12">
        <f t="shared" si="2"/>
        <v>0</v>
      </c>
      <c r="O39" s="12">
        <f t="shared" si="3"/>
        <v>0</v>
      </c>
    </row>
    <row r="40" spans="2:15" x14ac:dyDescent="0.45">
      <c r="B40" s="15"/>
      <c r="C40" s="19"/>
      <c r="D40" s="78"/>
      <c r="E40" s="78"/>
      <c r="F40" s="78"/>
      <c r="G40" s="78"/>
      <c r="H40" s="18">
        <f t="shared" si="0"/>
        <v>0</v>
      </c>
      <c r="I40" s="17"/>
      <c r="J40" s="13">
        <f t="shared" si="1"/>
        <v>0</v>
      </c>
      <c r="K40" s="16"/>
      <c r="M40" s="12"/>
      <c r="N40" s="12">
        <f t="shared" si="2"/>
        <v>0</v>
      </c>
      <c r="O40" s="12">
        <f t="shared" si="3"/>
        <v>0</v>
      </c>
    </row>
    <row r="41" spans="2:15" x14ac:dyDescent="0.45">
      <c r="B41" s="15"/>
      <c r="C41" s="19"/>
      <c r="D41" s="78"/>
      <c r="E41" s="78"/>
      <c r="F41" s="78"/>
      <c r="G41" s="78"/>
      <c r="H41" s="18">
        <f t="shared" si="0"/>
        <v>0</v>
      </c>
      <c r="I41" s="17"/>
      <c r="J41" s="13">
        <f t="shared" si="1"/>
        <v>0</v>
      </c>
      <c r="K41" s="16"/>
      <c r="M41" s="12"/>
      <c r="N41" s="12">
        <f t="shared" si="2"/>
        <v>0</v>
      </c>
      <c r="O41" s="12">
        <f t="shared" si="3"/>
        <v>0</v>
      </c>
    </row>
    <row r="42" spans="2:15" ht="3.75" customHeight="1" x14ac:dyDescent="0.45"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2:15" x14ac:dyDescent="0.45">
      <c r="B43" s="70" t="s">
        <v>124</v>
      </c>
      <c r="C43" s="71"/>
      <c r="D43" s="74"/>
      <c r="E43" s="74"/>
      <c r="F43" s="74"/>
      <c r="G43" s="75"/>
      <c r="H43" s="33" t="s">
        <v>103</v>
      </c>
      <c r="I43" s="29"/>
      <c r="J43" s="54"/>
      <c r="K43" s="28"/>
    </row>
    <row r="44" spans="2:15" x14ac:dyDescent="0.45">
      <c r="B44" s="72" t="s">
        <v>119</v>
      </c>
      <c r="C44" s="73"/>
      <c r="D44" s="76"/>
      <c r="E44" s="76"/>
      <c r="F44" s="76"/>
      <c r="G44" s="77"/>
      <c r="H44" s="25" t="s">
        <v>104</v>
      </c>
      <c r="I44" s="22"/>
      <c r="J44" s="55">
        <f>SUM(J15:J41)</f>
        <v>0</v>
      </c>
      <c r="K44" s="24"/>
    </row>
    <row r="45" spans="2:15" x14ac:dyDescent="0.45">
      <c r="B45" s="22"/>
      <c r="C45" s="23"/>
      <c r="D45" s="23"/>
      <c r="E45" s="23"/>
      <c r="F45" s="23"/>
      <c r="G45" s="24"/>
      <c r="H45" s="25" t="s">
        <v>105</v>
      </c>
      <c r="I45" s="22"/>
      <c r="J45" s="55">
        <f>J44*(1-J43)</f>
        <v>0</v>
      </c>
      <c r="K45" s="24"/>
    </row>
    <row r="46" spans="2:15" x14ac:dyDescent="0.45">
      <c r="B46" s="30"/>
      <c r="C46" s="31"/>
      <c r="D46" s="31"/>
      <c r="E46" s="31"/>
      <c r="F46" s="31"/>
      <c r="G46" s="32"/>
      <c r="H46" s="25" t="s">
        <v>106</v>
      </c>
      <c r="I46" s="22"/>
      <c r="J46" s="56"/>
      <c r="K46" s="24"/>
    </row>
    <row r="47" spans="2:15" x14ac:dyDescent="0.45">
      <c r="B47" s="34" t="s">
        <v>108</v>
      </c>
      <c r="C47" s="66" t="s">
        <v>157</v>
      </c>
      <c r="D47" s="66"/>
      <c r="E47" s="66"/>
      <c r="F47" s="66"/>
      <c r="G47" s="66"/>
      <c r="H47" s="25" t="s">
        <v>107</v>
      </c>
      <c r="I47" s="30"/>
      <c r="J47" s="57"/>
      <c r="K47" s="32"/>
    </row>
    <row r="48" spans="2:15" x14ac:dyDescent="0.45">
      <c r="B48" s="67"/>
      <c r="C48" s="68"/>
      <c r="D48" s="68"/>
      <c r="E48" s="68"/>
      <c r="F48" s="68"/>
      <c r="G48" s="68"/>
      <c r="H48" s="26"/>
      <c r="I48" s="26"/>
      <c r="J48" s="26"/>
      <c r="K48" s="27"/>
    </row>
  </sheetData>
  <mergeCells count="43">
    <mergeCell ref="E2:H3"/>
    <mergeCell ref="E4:H4"/>
    <mergeCell ref="E5:H5"/>
    <mergeCell ref="E6:H6"/>
    <mergeCell ref="D15:G15"/>
    <mergeCell ref="C8:G8"/>
    <mergeCell ref="C9:G9"/>
    <mergeCell ref="C10:G10"/>
    <mergeCell ref="C11:G11"/>
    <mergeCell ref="C12:G12"/>
    <mergeCell ref="D16:G16"/>
    <mergeCell ref="D17:G17"/>
    <mergeCell ref="D18:G18"/>
    <mergeCell ref="D19:G19"/>
    <mergeCell ref="D20:G20"/>
    <mergeCell ref="D21:G21"/>
    <mergeCell ref="D22:G22"/>
    <mergeCell ref="D23:G23"/>
    <mergeCell ref="D24:G24"/>
    <mergeCell ref="D25:G25"/>
    <mergeCell ref="D34:G34"/>
    <mergeCell ref="D35:G35"/>
    <mergeCell ref="D26:G26"/>
    <mergeCell ref="D27:G27"/>
    <mergeCell ref="D28:G28"/>
    <mergeCell ref="D29:G29"/>
    <mergeCell ref="D30:G30"/>
    <mergeCell ref="C47:G47"/>
    <mergeCell ref="B48:G48"/>
    <mergeCell ref="J10:J11"/>
    <mergeCell ref="B43:C43"/>
    <mergeCell ref="B44:C44"/>
    <mergeCell ref="D43:G43"/>
    <mergeCell ref="D44:G44"/>
    <mergeCell ref="D41:G41"/>
    <mergeCell ref="D36:G36"/>
    <mergeCell ref="D37:G37"/>
    <mergeCell ref="D38:G38"/>
    <mergeCell ref="D39:G39"/>
    <mergeCell ref="D40:G40"/>
    <mergeCell ref="D31:G31"/>
    <mergeCell ref="D32:G32"/>
    <mergeCell ref="D33:G33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2"/>
  <sheetViews>
    <sheetView zoomScale="50" zoomScaleNormal="50" workbookViewId="0">
      <selection activeCell="E27" sqref="E27"/>
    </sheetView>
  </sheetViews>
  <sheetFormatPr defaultRowHeight="14.25" x14ac:dyDescent="0.45"/>
  <cols>
    <col min="3" max="3" width="27.46484375" customWidth="1"/>
    <col min="4" max="4" width="25" customWidth="1"/>
    <col min="5" max="5" width="24.3984375" customWidth="1"/>
    <col min="6" max="6" width="17.19921875" customWidth="1"/>
    <col min="7" max="7" width="18.73046875" customWidth="1"/>
    <col min="8" max="8" width="33.1328125" customWidth="1"/>
    <col min="9" max="9" width="12.1328125" customWidth="1"/>
  </cols>
  <sheetData>
    <row r="1" spans="1:9" x14ac:dyDescent="0.45">
      <c r="A1" s="60" t="s">
        <v>48</v>
      </c>
      <c r="B1" s="60" t="s">
        <v>54</v>
      </c>
      <c r="C1" s="60" t="s">
        <v>49</v>
      </c>
      <c r="D1" s="60" t="s">
        <v>6</v>
      </c>
      <c r="E1" s="60" t="s">
        <v>50</v>
      </c>
      <c r="F1" s="60" t="s">
        <v>51</v>
      </c>
      <c r="G1" s="60" t="s">
        <v>52</v>
      </c>
      <c r="H1" s="60" t="s">
        <v>53</v>
      </c>
      <c r="I1" s="60" t="s">
        <v>55</v>
      </c>
    </row>
    <row r="2" spans="1:9" x14ac:dyDescent="0.45">
      <c r="A2" s="1"/>
      <c r="B2" s="1"/>
      <c r="C2" s="1"/>
      <c r="D2" s="1"/>
      <c r="E2" s="62"/>
      <c r="F2" s="1"/>
      <c r="G2" s="1"/>
      <c r="H2" s="1"/>
      <c r="I2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F28" sqref="F28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59765625" customWidth="1"/>
    <col min="9" max="9" width="17.265625" customWidth="1"/>
  </cols>
  <sheetData>
    <row r="1" spans="1:9" x14ac:dyDescent="0.45">
      <c r="A1" s="58" t="s">
        <v>41</v>
      </c>
      <c r="B1" s="58" t="s">
        <v>47</v>
      </c>
      <c r="C1" s="58" t="s">
        <v>0</v>
      </c>
      <c r="D1" s="58" t="s">
        <v>43</v>
      </c>
      <c r="E1" s="58" t="s">
        <v>42</v>
      </c>
      <c r="F1" s="58" t="s">
        <v>45</v>
      </c>
      <c r="G1" s="58" t="s">
        <v>44</v>
      </c>
      <c r="H1" s="58" t="s">
        <v>56</v>
      </c>
      <c r="I1" s="59" t="s">
        <v>46</v>
      </c>
    </row>
    <row r="2" spans="1:9" x14ac:dyDescent="0.45">
      <c r="A2" s="61">
        <v>100</v>
      </c>
      <c r="B2" s="61" t="s">
        <v>57</v>
      </c>
      <c r="C2" s="61" t="s">
        <v>78</v>
      </c>
      <c r="D2" s="61" t="s">
        <v>79</v>
      </c>
      <c r="E2" s="61" t="s">
        <v>80</v>
      </c>
      <c r="F2" s="61" t="s">
        <v>81</v>
      </c>
      <c r="G2" s="61">
        <v>7.8499999999999994E-6</v>
      </c>
      <c r="H2" s="61">
        <v>450.77</v>
      </c>
      <c r="I2" s="61" t="s">
        <v>82</v>
      </c>
    </row>
    <row r="3" spans="1:9" x14ac:dyDescent="0.45">
      <c r="A3" s="1">
        <v>101</v>
      </c>
      <c r="B3" s="1" t="s">
        <v>57</v>
      </c>
      <c r="C3" s="1" t="s">
        <v>83</v>
      </c>
      <c r="D3" s="1" t="s">
        <v>84</v>
      </c>
      <c r="E3" s="1" t="s">
        <v>80</v>
      </c>
      <c r="F3" s="1" t="s">
        <v>81</v>
      </c>
      <c r="G3" s="1">
        <v>7.8499999999999994E-6</v>
      </c>
      <c r="H3" s="1">
        <v>79.900000000000006</v>
      </c>
      <c r="I3" s="1" t="s">
        <v>82</v>
      </c>
    </row>
    <row r="4" spans="1:9" x14ac:dyDescent="0.45">
      <c r="A4" s="1">
        <v>102</v>
      </c>
      <c r="B4" s="1" t="s">
        <v>58</v>
      </c>
      <c r="C4" s="1" t="s">
        <v>85</v>
      </c>
      <c r="D4" s="1" t="s">
        <v>151</v>
      </c>
      <c r="E4" s="1" t="s">
        <v>80</v>
      </c>
      <c r="F4" s="1" t="s">
        <v>86</v>
      </c>
      <c r="G4" s="1">
        <v>0</v>
      </c>
      <c r="H4" s="1">
        <v>150.75</v>
      </c>
      <c r="I4" s="1" t="s">
        <v>80</v>
      </c>
    </row>
    <row r="5" spans="1:9" x14ac:dyDescent="0.45">
      <c r="A5" s="1">
        <v>103</v>
      </c>
      <c r="B5" s="1" t="s">
        <v>58</v>
      </c>
      <c r="C5" s="1" t="s">
        <v>87</v>
      </c>
      <c r="D5" s="1" t="s">
        <v>151</v>
      </c>
      <c r="E5" s="1" t="s">
        <v>80</v>
      </c>
      <c r="F5" s="1" t="s">
        <v>86</v>
      </c>
      <c r="G5" s="1">
        <v>0</v>
      </c>
      <c r="H5" s="1">
        <v>110.75</v>
      </c>
      <c r="I5" s="1" t="s">
        <v>80</v>
      </c>
    </row>
    <row r="6" spans="1:9" x14ac:dyDescent="0.45">
      <c r="A6" s="1">
        <v>104</v>
      </c>
      <c r="B6" s="1" t="s">
        <v>58</v>
      </c>
      <c r="C6" s="1" t="s">
        <v>88</v>
      </c>
      <c r="D6" s="1" t="s">
        <v>151</v>
      </c>
      <c r="E6" s="1" t="s">
        <v>80</v>
      </c>
      <c r="F6" s="1" t="s">
        <v>86</v>
      </c>
      <c r="G6" s="1">
        <v>0</v>
      </c>
      <c r="H6" s="1">
        <v>175.75</v>
      </c>
      <c r="I6" s="1" t="s">
        <v>80</v>
      </c>
    </row>
    <row r="7" spans="1:9" x14ac:dyDescent="0.45">
      <c r="A7" s="1">
        <v>105</v>
      </c>
      <c r="B7" s="1" t="s">
        <v>57</v>
      </c>
      <c r="C7" s="1" t="s">
        <v>90</v>
      </c>
      <c r="D7" s="1" t="s">
        <v>91</v>
      </c>
      <c r="E7" s="1" t="s">
        <v>92</v>
      </c>
      <c r="F7" s="1" t="s">
        <v>93</v>
      </c>
      <c r="G7" s="1">
        <v>0</v>
      </c>
      <c r="H7" s="1">
        <v>5789.77</v>
      </c>
      <c r="I7" s="1" t="s">
        <v>94</v>
      </c>
    </row>
    <row r="8" spans="1:9" x14ac:dyDescent="0.45">
      <c r="A8" s="1">
        <v>106</v>
      </c>
      <c r="B8" s="1" t="s">
        <v>57</v>
      </c>
      <c r="C8" s="1" t="s">
        <v>95</v>
      </c>
      <c r="D8" s="1" t="s">
        <v>96</v>
      </c>
      <c r="E8" s="1" t="s">
        <v>80</v>
      </c>
      <c r="F8" s="1" t="s">
        <v>97</v>
      </c>
      <c r="G8" s="1">
        <v>1.1999999999999999E-6</v>
      </c>
      <c r="H8" s="1">
        <v>59.89</v>
      </c>
      <c r="I8" s="1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K5756"/>
  <sheetViews>
    <sheetView zoomScale="50" zoomScaleNormal="50" workbookViewId="0">
      <selection activeCell="K1" sqref="A1:K1"/>
    </sheetView>
  </sheetViews>
  <sheetFormatPr defaultRowHeight="14.25" x14ac:dyDescent="0.45"/>
  <cols>
    <col min="1" max="1" width="29.3984375" customWidth="1"/>
    <col min="2" max="2" width="19.46484375" customWidth="1"/>
    <col min="3" max="3" width="33.86328125" customWidth="1"/>
    <col min="4" max="4" width="10.1328125" customWidth="1"/>
    <col min="5" max="5" width="17.1328125" customWidth="1"/>
    <col min="6" max="6" width="11.73046875" customWidth="1"/>
    <col min="7" max="7" width="15.73046875" customWidth="1"/>
    <col min="8" max="8" width="5.86328125" customWidth="1"/>
    <col min="9" max="9" width="13.73046875" customWidth="1"/>
    <col min="10" max="10" width="19.265625" customWidth="1"/>
    <col min="11" max="11" width="30.46484375" customWidth="1"/>
  </cols>
  <sheetData>
    <row r="1" spans="1:11" x14ac:dyDescent="0.45">
      <c r="A1" s="60" t="s">
        <v>5</v>
      </c>
      <c r="B1" s="60" t="s">
        <v>7</v>
      </c>
      <c r="C1" s="60" t="s">
        <v>10</v>
      </c>
      <c r="D1" s="60" t="s">
        <v>11</v>
      </c>
      <c r="E1" s="60" t="s">
        <v>59</v>
      </c>
      <c r="F1" s="60" t="s">
        <v>12</v>
      </c>
      <c r="G1" s="60" t="s">
        <v>40</v>
      </c>
      <c r="H1" s="60" t="s">
        <v>60</v>
      </c>
      <c r="I1" s="60" t="s">
        <v>8</v>
      </c>
      <c r="J1" s="60" t="s">
        <v>6</v>
      </c>
      <c r="K1" s="60" t="s">
        <v>9</v>
      </c>
    </row>
    <row r="2" spans="1:11" x14ac:dyDescent="0.45">
      <c r="A2" s="4" t="s">
        <v>61</v>
      </c>
      <c r="B2" s="4" t="s">
        <v>62</v>
      </c>
      <c r="C2" s="4" t="s">
        <v>63</v>
      </c>
      <c r="D2" s="4">
        <v>21476</v>
      </c>
      <c r="E2" s="4" t="s">
        <v>64</v>
      </c>
      <c r="F2" s="4" t="s">
        <v>65</v>
      </c>
      <c r="G2" s="4" t="s">
        <v>66</v>
      </c>
      <c r="H2" s="4" t="s">
        <v>37</v>
      </c>
      <c r="I2" s="4" t="s">
        <v>67</v>
      </c>
      <c r="J2" s="4" t="s">
        <v>68</v>
      </c>
      <c r="K2" s="4" t="s">
        <v>69</v>
      </c>
    </row>
    <row r="3" spans="1:11" x14ac:dyDescent="0.45">
      <c r="A3" s="4" t="s">
        <v>70</v>
      </c>
      <c r="B3" s="4" t="s">
        <v>89</v>
      </c>
      <c r="C3" s="4" t="s">
        <v>71</v>
      </c>
      <c r="D3" s="4">
        <v>8111</v>
      </c>
      <c r="E3" s="4" t="s">
        <v>72</v>
      </c>
      <c r="F3" s="4" t="s">
        <v>73</v>
      </c>
      <c r="G3" s="4" t="s">
        <v>74</v>
      </c>
      <c r="H3" s="4" t="s">
        <v>37</v>
      </c>
      <c r="I3" s="4" t="s">
        <v>75</v>
      </c>
      <c r="J3" s="4" t="s">
        <v>76</v>
      </c>
      <c r="K3" s="4" t="s">
        <v>77</v>
      </c>
    </row>
    <row r="4" spans="1:11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spans="1:11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</row>
    <row r="6" spans="1:11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</row>
    <row r="7" spans="1:11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</row>
    <row r="8" spans="1:11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</row>
    <row r="9" spans="1:11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</row>
    <row r="10" spans="1:11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1:11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1:11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1:11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1:11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1:11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1:11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1:11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1:11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1:11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1:11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1:11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1:11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68" spans="1:11" x14ac:dyDescent="0.4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</row>
    <row r="69" spans="1:11" x14ac:dyDescent="0.4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</row>
    <row r="70" spans="1:11" x14ac:dyDescent="0.4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</row>
    <row r="71" spans="1:11" x14ac:dyDescent="0.4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</row>
    <row r="72" spans="1:11" x14ac:dyDescent="0.4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4" spans="1:11" x14ac:dyDescent="0.4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</row>
    <row r="75" spans="1:11" x14ac:dyDescent="0.4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</row>
    <row r="76" spans="1:11" x14ac:dyDescent="0.4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I2"/>
  <sheetViews>
    <sheetView zoomScale="70" zoomScaleNormal="70" workbookViewId="0">
      <selection activeCell="C13" sqref="C13"/>
    </sheetView>
  </sheetViews>
  <sheetFormatPr defaultRowHeight="14.25" x14ac:dyDescent="0.45"/>
  <cols>
    <col min="1" max="1" width="24.59765625" style="1" customWidth="1"/>
    <col min="2" max="2" width="18.3984375" style="1" customWidth="1"/>
    <col min="3" max="3" width="12.265625" style="3" customWidth="1"/>
    <col min="4" max="4" width="12.265625" style="1" customWidth="1"/>
    <col min="6" max="6" width="25.1328125" customWidth="1"/>
    <col min="7" max="7" width="11.86328125" customWidth="1"/>
    <col min="8" max="8" width="18.86328125" customWidth="1"/>
    <col min="9" max="9" width="14.59765625" bestFit="1" customWidth="1"/>
  </cols>
  <sheetData>
    <row r="1" spans="1:9" x14ac:dyDescent="0.45">
      <c r="A1" s="58" t="s">
        <v>0</v>
      </c>
      <c r="B1" s="58" t="s">
        <v>4</v>
      </c>
      <c r="C1" s="58" t="s">
        <v>1</v>
      </c>
      <c r="D1" s="59" t="s">
        <v>2</v>
      </c>
      <c r="F1" s="2" t="s">
        <v>3</v>
      </c>
      <c r="G1" s="2" t="s">
        <v>2</v>
      </c>
      <c r="H1" s="2" t="s">
        <v>1</v>
      </c>
      <c r="I1" s="65" t="s">
        <v>159</v>
      </c>
    </row>
    <row r="2" spans="1:9" x14ac:dyDescent="0.45">
      <c r="A2" s="61"/>
      <c r="B2" s="61"/>
      <c r="C2" s="63"/>
      <c r="D2" s="61"/>
      <c r="H2" s="64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47"/>
  <sheetViews>
    <sheetView topLeftCell="D1" workbookViewId="0">
      <selection activeCell="E32" sqref="E32"/>
    </sheetView>
  </sheetViews>
  <sheetFormatPr defaultRowHeight="14.25" x14ac:dyDescent="0.45"/>
  <cols>
    <col min="1" max="1" width="28.3984375" customWidth="1"/>
    <col min="2" max="2" width="48.1328125" customWidth="1"/>
    <col min="3" max="3" width="20.3984375" customWidth="1"/>
    <col min="4" max="4" width="29.46484375" customWidth="1"/>
    <col min="5" max="5" width="21.46484375" customWidth="1"/>
  </cols>
  <sheetData>
    <row r="1" spans="1:5" x14ac:dyDescent="0.45">
      <c r="A1" s="2" t="s">
        <v>126</v>
      </c>
      <c r="B1" s="2" t="s">
        <v>127</v>
      </c>
      <c r="C1" s="2" t="s">
        <v>8</v>
      </c>
      <c r="D1" s="2" t="s">
        <v>9</v>
      </c>
      <c r="E1" s="2" t="s">
        <v>7</v>
      </c>
    </row>
    <row r="2" spans="1:5" x14ac:dyDescent="0.45">
      <c r="A2" s="14"/>
      <c r="B2" s="14"/>
      <c r="C2" s="14"/>
      <c r="D2" s="14"/>
      <c r="E2" s="14"/>
    </row>
    <row r="4" spans="1:5" x14ac:dyDescent="0.45">
      <c r="A4" s="2" t="s">
        <v>125</v>
      </c>
      <c r="B4" s="2" t="s">
        <v>128</v>
      </c>
      <c r="C4" s="2" t="s">
        <v>129</v>
      </c>
    </row>
    <row r="5" spans="1:5" x14ac:dyDescent="0.45">
      <c r="A5" s="1" t="s">
        <v>130</v>
      </c>
      <c r="B5" s="1" t="s">
        <v>150</v>
      </c>
      <c r="C5" s="1" t="s">
        <v>142</v>
      </c>
    </row>
    <row r="6" spans="1:5" x14ac:dyDescent="0.45">
      <c r="A6" s="1" t="s">
        <v>131</v>
      </c>
      <c r="B6" s="1" t="s">
        <v>132</v>
      </c>
      <c r="C6" s="1" t="s">
        <v>143</v>
      </c>
    </row>
    <row r="7" spans="1:5" x14ac:dyDescent="0.45">
      <c r="B7" s="1" t="s">
        <v>133</v>
      </c>
      <c r="C7" s="1" t="s">
        <v>144</v>
      </c>
    </row>
    <row r="8" spans="1:5" x14ac:dyDescent="0.45">
      <c r="B8" s="1" t="s">
        <v>134</v>
      </c>
      <c r="C8" s="1" t="s">
        <v>145</v>
      </c>
    </row>
    <row r="9" spans="1:5" x14ac:dyDescent="0.45">
      <c r="B9" s="1" t="s">
        <v>135</v>
      </c>
      <c r="C9" s="1" t="s">
        <v>146</v>
      </c>
    </row>
    <row r="10" spans="1:5" x14ac:dyDescent="0.45">
      <c r="B10" s="1" t="s">
        <v>136</v>
      </c>
      <c r="C10" s="1" t="s">
        <v>147</v>
      </c>
    </row>
    <row r="11" spans="1:5" x14ac:dyDescent="0.45">
      <c r="B11" s="1" t="s">
        <v>137</v>
      </c>
      <c r="C11" s="1" t="s">
        <v>148</v>
      </c>
    </row>
    <row r="12" spans="1:5" x14ac:dyDescent="0.45">
      <c r="B12" s="1" t="s">
        <v>138</v>
      </c>
      <c r="C12" s="1" t="s">
        <v>149</v>
      </c>
    </row>
    <row r="13" spans="1:5" x14ac:dyDescent="0.45">
      <c r="B13" s="1" t="s">
        <v>139</v>
      </c>
    </row>
    <row r="14" spans="1:5" x14ac:dyDescent="0.45">
      <c r="B14" s="1" t="s">
        <v>140</v>
      </c>
    </row>
    <row r="15" spans="1:5" x14ac:dyDescent="0.45">
      <c r="B15" s="1" t="s">
        <v>141</v>
      </c>
    </row>
    <row r="20" spans="1:2" x14ac:dyDescent="0.45">
      <c r="A20" s="2" t="s">
        <v>55</v>
      </c>
      <c r="B20" s="2" t="s">
        <v>158</v>
      </c>
    </row>
    <row r="21" spans="1:2" x14ac:dyDescent="0.45">
      <c r="A21" s="1" t="s">
        <v>152</v>
      </c>
      <c r="B21" s="1" t="s">
        <v>13</v>
      </c>
    </row>
    <row r="22" spans="1:2" x14ac:dyDescent="0.45">
      <c r="A22" s="1" t="s">
        <v>153</v>
      </c>
      <c r="B22" s="1" t="s">
        <v>14</v>
      </c>
    </row>
    <row r="23" spans="1:2" x14ac:dyDescent="0.45">
      <c r="A23" s="1" t="s">
        <v>154</v>
      </c>
      <c r="B23" s="1" t="s">
        <v>15</v>
      </c>
    </row>
    <row r="24" spans="1:2" x14ac:dyDescent="0.45">
      <c r="A24" s="1" t="s">
        <v>155</v>
      </c>
      <c r="B24" s="1" t="s">
        <v>16</v>
      </c>
    </row>
    <row r="25" spans="1:2" x14ac:dyDescent="0.45">
      <c r="A25" s="1" t="s">
        <v>156</v>
      </c>
      <c r="B25" s="1" t="s">
        <v>17</v>
      </c>
    </row>
    <row r="26" spans="1:2" x14ac:dyDescent="0.45">
      <c r="A26" s="1"/>
      <c r="B26" s="1" t="s">
        <v>18</v>
      </c>
    </row>
    <row r="27" spans="1:2" x14ac:dyDescent="0.45">
      <c r="A27" s="1"/>
      <c r="B27" s="1" t="s">
        <v>19</v>
      </c>
    </row>
    <row r="28" spans="1:2" x14ac:dyDescent="0.45">
      <c r="A28" s="1"/>
      <c r="B28" s="1" t="s">
        <v>20</v>
      </c>
    </row>
    <row r="29" spans="1:2" x14ac:dyDescent="0.45">
      <c r="A29" s="1"/>
      <c r="B29" s="1" t="s">
        <v>21</v>
      </c>
    </row>
    <row r="30" spans="1:2" x14ac:dyDescent="0.45">
      <c r="A30" s="1"/>
      <c r="B30" s="1" t="s">
        <v>22</v>
      </c>
    </row>
    <row r="31" spans="1:2" x14ac:dyDescent="0.45">
      <c r="A31" s="1"/>
      <c r="B31" s="1" t="s">
        <v>23</v>
      </c>
    </row>
    <row r="32" spans="1:2" x14ac:dyDescent="0.45">
      <c r="B32" s="1" t="s">
        <v>24</v>
      </c>
    </row>
    <row r="33" spans="2:2" x14ac:dyDescent="0.45">
      <c r="B33" s="1" t="s">
        <v>25</v>
      </c>
    </row>
    <row r="34" spans="2:2" x14ac:dyDescent="0.45">
      <c r="B34" s="1" t="s">
        <v>26</v>
      </c>
    </row>
    <row r="35" spans="2:2" x14ac:dyDescent="0.45">
      <c r="B35" s="1" t="s">
        <v>27</v>
      </c>
    </row>
    <row r="36" spans="2:2" x14ac:dyDescent="0.45">
      <c r="B36" s="1" t="s">
        <v>28</v>
      </c>
    </row>
    <row r="37" spans="2:2" x14ac:dyDescent="0.45">
      <c r="B37" s="1" t="s">
        <v>29</v>
      </c>
    </row>
    <row r="38" spans="2:2" x14ac:dyDescent="0.45">
      <c r="B38" s="1" t="s">
        <v>30</v>
      </c>
    </row>
    <row r="39" spans="2:2" x14ac:dyDescent="0.45">
      <c r="B39" s="1" t="s">
        <v>31</v>
      </c>
    </row>
    <row r="40" spans="2:2" x14ac:dyDescent="0.45">
      <c r="B40" s="1" t="s">
        <v>32</v>
      </c>
    </row>
    <row r="41" spans="2:2" x14ac:dyDescent="0.45">
      <c r="B41" s="1" t="s">
        <v>33</v>
      </c>
    </row>
    <row r="42" spans="2:2" x14ac:dyDescent="0.45">
      <c r="B42" s="1" t="s">
        <v>34</v>
      </c>
    </row>
    <row r="43" spans="2:2" x14ac:dyDescent="0.45">
      <c r="B43" s="1" t="s">
        <v>35</v>
      </c>
    </row>
    <row r="44" spans="2:2" x14ac:dyDescent="0.45">
      <c r="B44" s="1" t="s">
        <v>36</v>
      </c>
    </row>
    <row r="45" spans="2:2" x14ac:dyDescent="0.45">
      <c r="B45" s="1" t="s">
        <v>37</v>
      </c>
    </row>
    <row r="46" spans="2:2" x14ac:dyDescent="0.45">
      <c r="B46" s="1" t="s">
        <v>38</v>
      </c>
    </row>
    <row r="47" spans="2:2" x14ac:dyDescent="0.45">
      <c r="B47" s="1" t="s">
        <v>39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users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2024-11-30T03:45:30Z</cp:lastPrinted>
  <dcterms:created xsi:type="dcterms:W3CDTF">2024-11-15T02:06:57Z</dcterms:created>
  <dcterms:modified xsi:type="dcterms:W3CDTF">2024-11-30T03:56:21Z</dcterms:modified>
</cp:coreProperties>
</file>